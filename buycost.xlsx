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C29" i="1"/>
  <c r="D19" i="1"/>
  <c r="H14" i="1"/>
  <c r="E19" i="1"/>
  <c r="C20" i="1"/>
  <c r="C21" i="1"/>
  <c r="C22" i="1"/>
  <c r="H19" i="1" l="1"/>
  <c r="F19" i="1"/>
  <c r="D29" i="1"/>
  <c r="I28" i="1" l="1"/>
  <c r="G14" i="1"/>
  <c r="F27" i="1"/>
  <c r="G19" i="1"/>
  <c r="J19" i="1" l="1"/>
  <c r="N19" i="1"/>
  <c r="I19" i="1"/>
  <c r="G27" i="1"/>
  <c r="I30" i="1"/>
  <c r="E29" i="1"/>
  <c r="G29" i="1" s="1"/>
  <c r="I14" i="1" l="1"/>
  <c r="D20" i="1" l="1"/>
  <c r="E20" i="1" s="1"/>
  <c r="D21" i="1"/>
  <c r="E21" i="1" s="1"/>
  <c r="D22" i="1"/>
  <c r="E22" i="1" s="1"/>
  <c r="D23" i="1"/>
  <c r="D24" i="1"/>
  <c r="D25" i="1"/>
  <c r="D26" i="1"/>
  <c r="D27" i="1"/>
  <c r="I12" i="1"/>
  <c r="E5" i="1"/>
  <c r="E6" i="1"/>
  <c r="E7" i="1"/>
  <c r="E8" i="1"/>
  <c r="E9" i="1"/>
  <c r="E10" i="1"/>
  <c r="E11" i="1"/>
  <c r="E4" i="1"/>
  <c r="D12" i="1"/>
  <c r="F5" i="1"/>
  <c r="G5" i="1" s="1"/>
  <c r="J5" i="1" s="1"/>
  <c r="F6" i="1"/>
  <c r="G6" i="1" s="1"/>
  <c r="K6" i="1" s="1"/>
  <c r="F7" i="1"/>
  <c r="J7" i="1" s="1"/>
  <c r="F8" i="1"/>
  <c r="J8" i="1" s="1"/>
  <c r="F9" i="1"/>
  <c r="J9" i="1" s="1"/>
  <c r="F10" i="1"/>
  <c r="J10" i="1" s="1"/>
  <c r="F11" i="1"/>
  <c r="J11" i="1" s="1"/>
  <c r="F4" i="1"/>
  <c r="G4" i="1" s="1"/>
  <c r="J4" i="1" s="1"/>
  <c r="C12" i="1"/>
  <c r="O5" i="1" s="1"/>
  <c r="K12" i="1"/>
  <c r="H22" i="1" l="1"/>
  <c r="F22" i="1"/>
  <c r="G22" i="1" s="1"/>
  <c r="F21" i="1"/>
  <c r="G21" i="1"/>
  <c r="H21" i="1"/>
  <c r="F20" i="1"/>
  <c r="G20" i="1" s="1"/>
  <c r="H20" i="1"/>
  <c r="E12" i="1"/>
  <c r="G11" i="1"/>
  <c r="K11" i="1" s="1"/>
  <c r="G10" i="1"/>
  <c r="K10" i="1" s="1"/>
  <c r="G9" i="1"/>
  <c r="K9" i="1" s="1"/>
  <c r="G8" i="1"/>
  <c r="K8" i="1" s="1"/>
  <c r="G7" i="1"/>
  <c r="K7" i="1" s="1"/>
  <c r="N4" i="1"/>
  <c r="K4" i="1"/>
  <c r="L4" i="1"/>
  <c r="M4" i="1"/>
  <c r="O4" i="1"/>
  <c r="O11" i="1"/>
  <c r="O10" i="1"/>
  <c r="O9" i="1"/>
  <c r="O8" i="1"/>
  <c r="O7" i="1"/>
  <c r="O6" i="1"/>
  <c r="J6" i="1"/>
  <c r="P5" i="1"/>
  <c r="P6" i="1"/>
  <c r="H4" i="1"/>
  <c r="H6" i="1"/>
  <c r="H5" i="1"/>
  <c r="P4" i="1"/>
  <c r="H9" i="1"/>
  <c r="H11" i="1"/>
  <c r="K5" i="1"/>
  <c r="L5" i="1"/>
  <c r="H12" i="1"/>
  <c r="H8" i="1"/>
  <c r="H10" i="1"/>
  <c r="H7" i="1"/>
  <c r="N6" i="1"/>
  <c r="M6" i="1"/>
  <c r="L6" i="1"/>
  <c r="N5" i="1"/>
  <c r="M5" i="1"/>
  <c r="I22" i="1" l="1"/>
  <c r="N22" i="1"/>
  <c r="J22" i="1"/>
  <c r="K22" i="1" s="1"/>
  <c r="L22" i="1" s="1"/>
  <c r="I20" i="1"/>
  <c r="N20" i="1"/>
  <c r="J20" i="1"/>
  <c r="K20" i="1" s="1"/>
  <c r="L20" i="1" s="1"/>
  <c r="I21" i="1"/>
  <c r="J21" i="1" s="1"/>
  <c r="K21" i="1" s="1"/>
  <c r="L21" i="1" s="1"/>
  <c r="N21" i="1"/>
  <c r="L11" i="1"/>
  <c r="N11" i="1"/>
  <c r="N10" i="1"/>
  <c r="M11" i="1"/>
  <c r="M7" i="1"/>
  <c r="M9" i="1"/>
  <c r="N9" i="1"/>
  <c r="L7" i="1"/>
  <c r="P7" i="1"/>
  <c r="L9" i="1"/>
  <c r="P8" i="1"/>
  <c r="P9" i="1"/>
  <c r="N7" i="1"/>
  <c r="P10" i="1"/>
  <c r="L8" i="1"/>
  <c r="M8" i="1"/>
  <c r="N8" i="1"/>
  <c r="L10" i="1"/>
  <c r="M10" i="1"/>
  <c r="Q5" i="1"/>
  <c r="Q6" i="1"/>
  <c r="Q4" i="1"/>
  <c r="C19" i="1" s="1"/>
  <c r="Q11" i="1" l="1"/>
  <c r="Q8" i="1"/>
  <c r="Q10" i="1"/>
  <c r="Q9" i="1"/>
  <c r="Q7" i="1"/>
  <c r="K19" i="1" l="1"/>
  <c r="L19" i="1" s="1"/>
</calcChain>
</file>

<file path=xl/sharedStrings.xml><?xml version="1.0" encoding="utf-8"?>
<sst xmlns="http://schemas.openxmlformats.org/spreadsheetml/2006/main" count="37" uniqueCount="37">
  <si>
    <t>Таможня</t>
  </si>
  <si>
    <t>логистика</t>
  </si>
  <si>
    <t>склад</t>
  </si>
  <si>
    <t>мчс</t>
  </si>
  <si>
    <t>погрузка</t>
  </si>
  <si>
    <t>отклонения</t>
  </si>
  <si>
    <t>наименование</t>
  </si>
  <si>
    <t>количество</t>
  </si>
  <si>
    <t>цена в рублях</t>
  </si>
  <si>
    <t>цена в сумах</t>
  </si>
  <si>
    <t>ндс(налог)</t>
  </si>
  <si>
    <t>декларация</t>
  </si>
  <si>
    <t>сертификация</t>
  </si>
  <si>
    <t>себес закуп(итог)</t>
  </si>
  <si>
    <t>курс(неважно какой, руб или $)</t>
  </si>
  <si>
    <t>таможенный сбор</t>
  </si>
  <si>
    <t>Огнетушитель ОП-4</t>
  </si>
  <si>
    <t>Итого количество</t>
  </si>
  <si>
    <t>Сумма тамож.сбор</t>
  </si>
  <si>
    <t>сумма итог</t>
  </si>
  <si>
    <t>№</t>
  </si>
  <si>
    <t>ПП-300</t>
  </si>
  <si>
    <t>Стоимость на партию</t>
  </si>
  <si>
    <t>ПП-600</t>
  </si>
  <si>
    <t>ПП-1000</t>
  </si>
  <si>
    <t>стоим в сумах</t>
  </si>
  <si>
    <t>закупочный себес</t>
  </si>
  <si>
    <t>т.наценка</t>
  </si>
  <si>
    <t>ндс</t>
  </si>
  <si>
    <t>расходы нал.без нал</t>
  </si>
  <si>
    <t>маржа</t>
  </si>
  <si>
    <t>колебания</t>
  </si>
  <si>
    <t>налог на прибыль</t>
  </si>
  <si>
    <t>выхлоп</t>
  </si>
  <si>
    <t>стоимость с учетом нац.</t>
  </si>
  <si>
    <t>стоимость с ндс</t>
  </si>
  <si>
    <t>прайс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</si>
</sst>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0.0%"/>
    <numFmt numFmtId="165" formatCode="#,##0.00_ ;[Red]\-#,##0.00\ 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Microsoft Sans Serif"/>
      <family val="2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8"/>
      <color rgb="FF00B050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0"/>
      </left>
      <right style="hair">
        <color indexed="60"/>
      </right>
      <top style="hair">
        <color indexed="60"/>
      </top>
      <bottom style="hair">
        <color indexed="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43" fontId="0" fillId="0" borderId="1" xfId="1" applyFont="1" applyBorder="1" applyAlignment="1">
      <alignment horizontal="center" vertical="center"/>
    </xf>
    <xf numFmtId="43" fontId="0" fillId="0" borderId="10" xfId="1" applyFont="1" applyBorder="1"/>
    <xf numFmtId="43" fontId="0" fillId="2" borderId="7" xfId="1" applyFont="1" applyFill="1" applyBorder="1"/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43" fontId="0" fillId="0" borderId="3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0" xfId="1" applyFont="1"/>
    <xf numFmtId="43" fontId="0" fillId="0" borderId="6" xfId="1" applyFont="1" applyBorder="1"/>
    <xf numFmtId="43" fontId="0" fillId="0" borderId="7" xfId="1" applyFont="1" applyBorder="1"/>
    <xf numFmtId="43" fontId="4" fillId="0" borderId="7" xfId="1" applyFont="1" applyBorder="1"/>
    <xf numFmtId="43" fontId="4" fillId="0" borderId="8" xfId="1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8" xfId="1" applyFont="1" applyBorder="1" applyAlignment="1">
      <alignment horizontal="center" vertical="center"/>
    </xf>
    <xf numFmtId="43" fontId="0" fillId="0" borderId="9" xfId="1" applyFont="1" applyBorder="1"/>
    <xf numFmtId="43" fontId="4" fillId="0" borderId="10" xfId="1" applyFont="1" applyBorder="1"/>
    <xf numFmtId="43" fontId="4" fillId="0" borderId="11" xfId="1" applyFont="1" applyBorder="1"/>
    <xf numFmtId="43" fontId="2" fillId="0" borderId="2" xfId="1" applyFont="1" applyBorder="1" applyAlignment="1">
      <alignment horizontal="right" vertical="top"/>
    </xf>
    <xf numFmtId="43" fontId="6" fillId="0" borderId="0" xfId="1" applyFont="1"/>
    <xf numFmtId="43" fontId="6" fillId="0" borderId="12" xfId="1" applyFont="1" applyBorder="1"/>
    <xf numFmtId="43" fontId="7" fillId="0" borderId="13" xfId="1" applyFont="1" applyBorder="1" applyAlignment="1">
      <alignment horizontal="center" vertical="center"/>
    </xf>
    <xf numFmtId="43" fontId="6" fillId="0" borderId="4" xfId="1" applyFont="1" applyBorder="1" applyAlignment="1">
      <alignment horizontal="center" vertical="center"/>
    </xf>
    <xf numFmtId="43" fontId="6" fillId="0" borderId="5" xfId="1" applyFont="1" applyBorder="1"/>
    <xf numFmtId="43" fontId="8" fillId="0" borderId="2" xfId="1" applyFont="1" applyBorder="1" applyAlignment="1">
      <alignment horizontal="right" vertical="top"/>
    </xf>
    <xf numFmtId="165" fontId="6" fillId="0" borderId="0" xfId="1" applyNumberFormat="1" applyFont="1"/>
    <xf numFmtId="165" fontId="0" fillId="0" borderId="0" xfId="1" applyNumberFormat="1" applyFont="1"/>
    <xf numFmtId="165" fontId="0" fillId="3" borderId="0" xfId="1" applyNumberFormat="1" applyFont="1" applyFill="1"/>
    <xf numFmtId="164" fontId="0" fillId="4" borderId="0" xfId="2" applyNumberFormat="1" applyFont="1" applyFill="1"/>
    <xf numFmtId="10" fontId="5" fillId="0" borderId="0" xfId="2" applyNumberFormat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zoomScale="74" workbookViewId="0">
      <selection activeCell="Q16" sqref="Q16"/>
    </sheetView>
  </sheetViews>
  <sheetFormatPr defaultColWidth="8.7109375" defaultRowHeight="15" x14ac:dyDescent="0.25"/>
  <cols>
    <col min="1" max="1" width="7.42578125" style="12" customWidth="1"/>
    <col min="2" max="2" width="17.85546875" style="12" bestFit="1" customWidth="1"/>
    <col min="3" max="3" width="28.42578125" style="12" bestFit="1" customWidth="1"/>
    <col min="4" max="5" width="28.42578125" style="12" customWidth="1"/>
    <col min="6" max="6" width="13" style="12" bestFit="1" customWidth="1"/>
    <col min="7" max="7" width="17.5703125" style="12" customWidth="1"/>
    <col min="8" max="8" width="16.42578125" style="12" customWidth="1"/>
    <col min="9" max="9" width="21.7109375" style="12" customWidth="1"/>
    <col min="10" max="12" width="20.85546875" style="12" customWidth="1"/>
    <col min="13" max="13" width="15.28515625" style="12" customWidth="1"/>
    <col min="14" max="14" width="20.7109375" style="12" customWidth="1"/>
    <col min="15" max="15" width="16" style="12" customWidth="1"/>
    <col min="16" max="16" width="14" style="12" customWidth="1"/>
    <col min="17" max="17" width="21.42578125" style="23" customWidth="1"/>
    <col min="18" max="18" width="8.7109375" style="12"/>
    <col min="19" max="19" width="17" style="12" customWidth="1"/>
    <col min="20" max="20" width="10.5703125" style="12" bestFit="1" customWidth="1"/>
    <col min="21" max="16384" width="8.7109375" style="12"/>
  </cols>
  <sheetData>
    <row r="1" spans="1:17" ht="15.75" thickBot="1" x14ac:dyDescent="0.3"/>
    <row r="2" spans="1:17" ht="15.75" thickBot="1" x14ac:dyDescent="0.3">
      <c r="A2" s="13"/>
      <c r="B2" s="14"/>
      <c r="C2" s="15" t="s">
        <v>14</v>
      </c>
      <c r="D2" s="15" t="s">
        <v>22</v>
      </c>
      <c r="E2" s="15"/>
      <c r="F2" s="3">
        <v>156</v>
      </c>
      <c r="G2" s="14"/>
      <c r="H2" s="15" t="s">
        <v>15</v>
      </c>
      <c r="I2" s="3">
        <v>1030000</v>
      </c>
      <c r="J2" s="3">
        <v>0.2</v>
      </c>
      <c r="K2" s="3">
        <v>5.0000000000000001E-3</v>
      </c>
      <c r="L2" s="3">
        <v>2E-3</v>
      </c>
      <c r="M2" s="3">
        <v>0.01</v>
      </c>
      <c r="N2" s="3">
        <v>0.01</v>
      </c>
      <c r="O2" s="3">
        <v>1000000</v>
      </c>
      <c r="P2" s="3">
        <v>1.4999999999999999E-2</v>
      </c>
      <c r="Q2" s="24"/>
    </row>
    <row r="3" spans="1:17" s="17" customFormat="1" x14ac:dyDescent="0.25">
      <c r="A3" s="16" t="s">
        <v>20</v>
      </c>
      <c r="B3" s="8" t="s">
        <v>6</v>
      </c>
      <c r="C3" s="8" t="s">
        <v>7</v>
      </c>
      <c r="D3" s="8"/>
      <c r="E3" s="8" t="s">
        <v>25</v>
      </c>
      <c r="F3" s="8" t="s">
        <v>8</v>
      </c>
      <c r="G3" s="8" t="s">
        <v>9</v>
      </c>
      <c r="H3" s="8" t="s">
        <v>0</v>
      </c>
      <c r="I3" s="8" t="s">
        <v>10</v>
      </c>
      <c r="J3" s="8" t="s">
        <v>1</v>
      </c>
      <c r="K3" s="8" t="s">
        <v>2</v>
      </c>
      <c r="L3" s="8" t="s">
        <v>11</v>
      </c>
      <c r="M3" s="8" t="s">
        <v>12</v>
      </c>
      <c r="N3" s="8" t="s">
        <v>3</v>
      </c>
      <c r="O3" s="8" t="s">
        <v>4</v>
      </c>
      <c r="P3" s="9" t="s">
        <v>5</v>
      </c>
      <c r="Q3" s="25" t="s">
        <v>13</v>
      </c>
    </row>
    <row r="4" spans="1:17" x14ac:dyDescent="0.25">
      <c r="A4" s="18">
        <v>1</v>
      </c>
      <c r="B4" s="1" t="s">
        <v>16</v>
      </c>
      <c r="C4" s="1">
        <v>4000</v>
      </c>
      <c r="D4" s="1">
        <v>1432000</v>
      </c>
      <c r="E4" s="1">
        <f>D4*$F$2</f>
        <v>223392000</v>
      </c>
      <c r="F4" s="10">
        <f>D4/C4</f>
        <v>358</v>
      </c>
      <c r="G4" s="1">
        <f>F4*$F$2</f>
        <v>55848</v>
      </c>
      <c r="H4" s="1">
        <f>$I$2/$C$12</f>
        <v>200</v>
      </c>
      <c r="I4" s="1">
        <v>31442875.75</v>
      </c>
      <c r="J4" s="1">
        <f>G4*$J$2</f>
        <v>11169.6</v>
      </c>
      <c r="K4" s="1">
        <f>G4*$K$2</f>
        <v>279.24</v>
      </c>
      <c r="L4" s="1">
        <f>G4*$L$2</f>
        <v>111.696</v>
      </c>
      <c r="M4" s="1">
        <f>G4*$M$2</f>
        <v>558.48</v>
      </c>
      <c r="N4" s="1">
        <f>G4*$N$2</f>
        <v>558.48</v>
      </c>
      <c r="O4" s="1">
        <f>$O$2/$C$12</f>
        <v>194.17475728155341</v>
      </c>
      <c r="P4" s="7">
        <f>G4*$P$2</f>
        <v>837.71999999999991</v>
      </c>
      <c r="Q4" s="26">
        <f t="shared" ref="Q4:Q11" si="0">G4+H4+J4+K4+L4+M4+N4+O4+P4</f>
        <v>69757.390757281551</v>
      </c>
    </row>
    <row r="5" spans="1:17" x14ac:dyDescent="0.25">
      <c r="A5" s="18">
        <v>2</v>
      </c>
      <c r="B5" s="1" t="s">
        <v>21</v>
      </c>
      <c r="C5" s="1">
        <v>800</v>
      </c>
      <c r="D5" s="1">
        <v>108000</v>
      </c>
      <c r="E5" s="1">
        <f t="shared" ref="E5:E11" si="1">D5*$F$2</f>
        <v>16848000</v>
      </c>
      <c r="F5" s="10">
        <f t="shared" ref="F5:F11" si="2">D5/C5</f>
        <v>135</v>
      </c>
      <c r="G5" s="1">
        <f t="shared" ref="G5:G11" si="3">F5*$F$2</f>
        <v>21060</v>
      </c>
      <c r="H5" s="1">
        <f>$I$2/$C$12</f>
        <v>200</v>
      </c>
      <c r="I5" s="1">
        <v>2020160.24</v>
      </c>
      <c r="J5" s="1">
        <f>G5*$J$2</f>
        <v>4212</v>
      </c>
      <c r="K5" s="1">
        <f t="shared" ref="K5:K12" si="4">G5*$K$2</f>
        <v>105.3</v>
      </c>
      <c r="L5" s="1">
        <f t="shared" ref="L5:L11" si="5">G5*$L$2</f>
        <v>42.12</v>
      </c>
      <c r="M5" s="1">
        <f t="shared" ref="M5:M11" si="6">G5*$M$2</f>
        <v>210.6</v>
      </c>
      <c r="N5" s="1">
        <f t="shared" ref="N5:N11" si="7">G5*$N$2</f>
        <v>210.6</v>
      </c>
      <c r="O5" s="1">
        <f t="shared" ref="O5:O11" si="8">$O$2/$C$12</f>
        <v>194.17475728155341</v>
      </c>
      <c r="P5" s="7">
        <f t="shared" ref="P5:P10" si="9">G5*$P$2</f>
        <v>315.89999999999998</v>
      </c>
      <c r="Q5" s="26">
        <f t="shared" si="0"/>
        <v>26550.694757281552</v>
      </c>
    </row>
    <row r="6" spans="1:17" x14ac:dyDescent="0.25">
      <c r="A6" s="18">
        <v>3</v>
      </c>
      <c r="B6" s="11" t="s">
        <v>23</v>
      </c>
      <c r="C6" s="1">
        <v>200</v>
      </c>
      <c r="D6" s="1">
        <v>33000</v>
      </c>
      <c r="E6" s="1">
        <f t="shared" si="1"/>
        <v>5148000</v>
      </c>
      <c r="F6" s="10">
        <f t="shared" si="2"/>
        <v>165</v>
      </c>
      <c r="G6" s="1">
        <f t="shared" si="3"/>
        <v>25740</v>
      </c>
      <c r="H6" s="1">
        <f>$I$2/$C$12</f>
        <v>200</v>
      </c>
      <c r="I6" s="1">
        <v>621053.1</v>
      </c>
      <c r="J6" s="1">
        <f>G6*$J$2</f>
        <v>5148</v>
      </c>
      <c r="K6" s="1">
        <f t="shared" si="4"/>
        <v>128.69999999999999</v>
      </c>
      <c r="L6" s="1">
        <f t="shared" si="5"/>
        <v>51.480000000000004</v>
      </c>
      <c r="M6" s="1">
        <f t="shared" si="6"/>
        <v>257.39999999999998</v>
      </c>
      <c r="N6" s="1">
        <f t="shared" si="7"/>
        <v>257.39999999999998</v>
      </c>
      <c r="O6" s="1">
        <f t="shared" si="8"/>
        <v>194.17475728155341</v>
      </c>
      <c r="P6" s="7">
        <f t="shared" si="9"/>
        <v>386.09999999999997</v>
      </c>
      <c r="Q6" s="26">
        <f t="shared" si="0"/>
        <v>32363.254757281557</v>
      </c>
    </row>
    <row r="7" spans="1:17" x14ac:dyDescent="0.25">
      <c r="A7" s="18">
        <v>4</v>
      </c>
      <c r="B7" s="1" t="s">
        <v>24</v>
      </c>
      <c r="C7" s="1">
        <v>150</v>
      </c>
      <c r="D7" s="1">
        <v>70750.5</v>
      </c>
      <c r="E7" s="1">
        <f t="shared" si="1"/>
        <v>11037078</v>
      </c>
      <c r="F7" s="10">
        <f t="shared" si="2"/>
        <v>471.67</v>
      </c>
      <c r="G7" s="1">
        <f t="shared" si="3"/>
        <v>73580.52</v>
      </c>
      <c r="H7" s="1">
        <f t="shared" ref="H7:H12" si="10">$I$2/$C$12*C7</f>
        <v>30000</v>
      </c>
      <c r="I7" s="1">
        <v>1306786.01</v>
      </c>
      <c r="J7" s="1">
        <f>F7*$J$2</f>
        <v>94.334000000000003</v>
      </c>
      <c r="K7" s="1">
        <f t="shared" si="4"/>
        <v>367.90260000000001</v>
      </c>
      <c r="L7" s="1">
        <f t="shared" si="5"/>
        <v>147.16104000000001</v>
      </c>
      <c r="M7" s="1">
        <f t="shared" si="6"/>
        <v>735.80520000000001</v>
      </c>
      <c r="N7" s="1">
        <f t="shared" si="7"/>
        <v>735.80520000000001</v>
      </c>
      <c r="O7" s="1">
        <f t="shared" si="8"/>
        <v>194.17475728155341</v>
      </c>
      <c r="P7" s="7">
        <f t="shared" si="9"/>
        <v>1103.7078000000001</v>
      </c>
      <c r="Q7" s="26">
        <f t="shared" si="0"/>
        <v>106959.41059728157</v>
      </c>
    </row>
    <row r="8" spans="1:17" hidden="1" x14ac:dyDescent="0.25">
      <c r="A8" s="18">
        <v>5</v>
      </c>
      <c r="B8" s="1"/>
      <c r="C8" s="1"/>
      <c r="D8" s="1"/>
      <c r="E8" s="1">
        <f t="shared" si="1"/>
        <v>0</v>
      </c>
      <c r="F8" s="10" t="e">
        <f t="shared" si="2"/>
        <v>#DIV/0!</v>
      </c>
      <c r="G8" s="1" t="e">
        <f t="shared" si="3"/>
        <v>#DIV/0!</v>
      </c>
      <c r="H8" s="1">
        <f t="shared" si="10"/>
        <v>0</v>
      </c>
      <c r="I8" s="1"/>
      <c r="J8" s="1" t="e">
        <f>F8*$J$2</f>
        <v>#DIV/0!</v>
      </c>
      <c r="K8" s="1" t="e">
        <f t="shared" si="4"/>
        <v>#DIV/0!</v>
      </c>
      <c r="L8" s="1" t="e">
        <f t="shared" si="5"/>
        <v>#DIV/0!</v>
      </c>
      <c r="M8" s="1" t="e">
        <f t="shared" si="6"/>
        <v>#DIV/0!</v>
      </c>
      <c r="N8" s="1" t="e">
        <f t="shared" si="7"/>
        <v>#DIV/0!</v>
      </c>
      <c r="O8" s="1">
        <f t="shared" si="8"/>
        <v>194.17475728155341</v>
      </c>
      <c r="P8" s="7" t="e">
        <f t="shared" si="9"/>
        <v>#DIV/0!</v>
      </c>
      <c r="Q8" s="26" t="e">
        <f t="shared" si="0"/>
        <v>#DIV/0!</v>
      </c>
    </row>
    <row r="9" spans="1:17" hidden="1" x14ac:dyDescent="0.25">
      <c r="A9" s="18">
        <v>6</v>
      </c>
      <c r="B9" s="1"/>
      <c r="C9" s="1"/>
      <c r="D9" s="1"/>
      <c r="E9" s="1">
        <f t="shared" si="1"/>
        <v>0</v>
      </c>
      <c r="F9" s="10" t="e">
        <f t="shared" si="2"/>
        <v>#DIV/0!</v>
      </c>
      <c r="G9" s="1" t="e">
        <f t="shared" si="3"/>
        <v>#DIV/0!</v>
      </c>
      <c r="H9" s="1">
        <f t="shared" si="10"/>
        <v>0</v>
      </c>
      <c r="I9" s="1"/>
      <c r="J9" s="1" t="e">
        <f>F9*$J$2</f>
        <v>#DIV/0!</v>
      </c>
      <c r="K9" s="1" t="e">
        <f t="shared" si="4"/>
        <v>#DIV/0!</v>
      </c>
      <c r="L9" s="1" t="e">
        <f t="shared" si="5"/>
        <v>#DIV/0!</v>
      </c>
      <c r="M9" s="1" t="e">
        <f t="shared" si="6"/>
        <v>#DIV/0!</v>
      </c>
      <c r="N9" s="1" t="e">
        <f t="shared" si="7"/>
        <v>#DIV/0!</v>
      </c>
      <c r="O9" s="1">
        <f t="shared" si="8"/>
        <v>194.17475728155341</v>
      </c>
      <c r="P9" s="7" t="e">
        <f t="shared" si="9"/>
        <v>#DIV/0!</v>
      </c>
      <c r="Q9" s="26" t="e">
        <f t="shared" si="0"/>
        <v>#DIV/0!</v>
      </c>
    </row>
    <row r="10" spans="1:17" hidden="1" x14ac:dyDescent="0.25">
      <c r="A10" s="18">
        <v>7</v>
      </c>
      <c r="B10" s="1"/>
      <c r="C10" s="1"/>
      <c r="D10" s="1"/>
      <c r="E10" s="1">
        <f t="shared" si="1"/>
        <v>0</v>
      </c>
      <c r="F10" s="10" t="e">
        <f t="shared" si="2"/>
        <v>#DIV/0!</v>
      </c>
      <c r="G10" s="1" t="e">
        <f t="shared" si="3"/>
        <v>#DIV/0!</v>
      </c>
      <c r="H10" s="1">
        <f t="shared" si="10"/>
        <v>0</v>
      </c>
      <c r="I10" s="1"/>
      <c r="J10" s="1" t="e">
        <f>F10*$J$2</f>
        <v>#DIV/0!</v>
      </c>
      <c r="K10" s="1" t="e">
        <f t="shared" si="4"/>
        <v>#DIV/0!</v>
      </c>
      <c r="L10" s="1" t="e">
        <f t="shared" si="5"/>
        <v>#DIV/0!</v>
      </c>
      <c r="M10" s="1" t="e">
        <f t="shared" si="6"/>
        <v>#DIV/0!</v>
      </c>
      <c r="N10" s="1" t="e">
        <f t="shared" si="7"/>
        <v>#DIV/0!</v>
      </c>
      <c r="O10" s="1">
        <f t="shared" si="8"/>
        <v>194.17475728155341</v>
      </c>
      <c r="P10" s="7" t="e">
        <f t="shared" si="9"/>
        <v>#DIV/0!</v>
      </c>
      <c r="Q10" s="26" t="e">
        <f t="shared" si="0"/>
        <v>#DIV/0!</v>
      </c>
    </row>
    <row r="11" spans="1:17" hidden="1" x14ac:dyDescent="0.25">
      <c r="A11" s="18">
        <v>8</v>
      </c>
      <c r="B11" s="4"/>
      <c r="C11" s="5"/>
      <c r="D11" s="5"/>
      <c r="E11" s="1">
        <f t="shared" si="1"/>
        <v>0</v>
      </c>
      <c r="F11" s="6" t="e">
        <f t="shared" si="2"/>
        <v>#DIV/0!</v>
      </c>
      <c r="G11" s="1" t="e">
        <f t="shared" si="3"/>
        <v>#DIV/0!</v>
      </c>
      <c r="H11" s="1">
        <f t="shared" si="10"/>
        <v>0</v>
      </c>
      <c r="I11" s="1"/>
      <c r="J11" s="1" t="e">
        <f>F11*$J$2</f>
        <v>#DIV/0!</v>
      </c>
      <c r="K11" s="1" t="e">
        <f t="shared" si="4"/>
        <v>#DIV/0!</v>
      </c>
      <c r="L11" s="1" t="e">
        <f t="shared" si="5"/>
        <v>#DIV/0!</v>
      </c>
      <c r="M11" s="1" t="e">
        <f t="shared" si="6"/>
        <v>#DIV/0!</v>
      </c>
      <c r="N11" s="1" t="e">
        <f t="shared" si="7"/>
        <v>#DIV/0!</v>
      </c>
      <c r="O11" s="1">
        <f t="shared" si="8"/>
        <v>194.17475728155341</v>
      </c>
      <c r="P11" s="7"/>
      <c r="Q11" s="26" t="e">
        <f t="shared" si="0"/>
        <v>#DIV/0!</v>
      </c>
    </row>
    <row r="12" spans="1:17" ht="15.75" thickBot="1" x14ac:dyDescent="0.3">
      <c r="A12" s="19"/>
      <c r="B12" s="20" t="s">
        <v>17</v>
      </c>
      <c r="C12" s="2">
        <f>SUM(C4:C11)</f>
        <v>5150</v>
      </c>
      <c r="D12" s="2">
        <f>SUM(D4:D11)</f>
        <v>1643750.5</v>
      </c>
      <c r="E12" s="2">
        <f>SUM(E4:E11)</f>
        <v>256425078</v>
      </c>
      <c r="F12" s="2"/>
      <c r="G12" s="20" t="s">
        <v>18</v>
      </c>
      <c r="H12" s="2">
        <f t="shared" si="10"/>
        <v>1030000</v>
      </c>
      <c r="I12" s="2">
        <f>SUM(I4:I6,I7)</f>
        <v>35390875.099999994</v>
      </c>
      <c r="J12" s="2"/>
      <c r="K12" s="2" t="e">
        <f t="shared" si="4"/>
        <v>#VALUE!</v>
      </c>
      <c r="L12" s="2"/>
      <c r="M12" s="2"/>
      <c r="N12" s="2"/>
      <c r="O12" s="2"/>
      <c r="P12" s="21" t="s">
        <v>19</v>
      </c>
      <c r="Q12" s="27"/>
    </row>
    <row r="14" spans="1:17" x14ac:dyDescent="0.25">
      <c r="G14" s="12">
        <f>H14*100/F19</f>
        <v>80.952973454465806</v>
      </c>
      <c r="H14" s="12">
        <f>I4/C4</f>
        <v>7860.7189374999998</v>
      </c>
      <c r="I14" s="12">
        <f>I12*100/91000000</f>
        <v>38.891071538461532</v>
      </c>
    </row>
    <row r="17" spans="3:19" x14ac:dyDescent="0.25">
      <c r="D17" s="32">
        <v>0.16</v>
      </c>
      <c r="H17" s="33">
        <v>0.1187</v>
      </c>
      <c r="I17" s="12">
        <v>1.4999999999999999E-2</v>
      </c>
      <c r="K17" s="12">
        <v>0.15</v>
      </c>
    </row>
    <row r="18" spans="3:19" x14ac:dyDescent="0.25">
      <c r="C18" s="12" t="s">
        <v>26</v>
      </c>
      <c r="D18" s="12" t="s">
        <v>27</v>
      </c>
      <c r="E18" s="12" t="s">
        <v>34</v>
      </c>
      <c r="F18" s="12" t="s">
        <v>28</v>
      </c>
      <c r="G18" s="12" t="s">
        <v>35</v>
      </c>
      <c r="H18" s="12" t="s">
        <v>29</v>
      </c>
      <c r="I18" s="12" t="s">
        <v>31</v>
      </c>
      <c r="J18" s="12" t="s">
        <v>30</v>
      </c>
      <c r="K18" s="12" t="s">
        <v>32</v>
      </c>
      <c r="L18" s="12" t="s">
        <v>33</v>
      </c>
      <c r="N18" s="12" t="s">
        <v>36</v>
      </c>
    </row>
    <row r="19" spans="3:19" s="30" customFormat="1" x14ac:dyDescent="0.25">
      <c r="C19" s="29">
        <f>Q4</f>
        <v>69757.390757281551</v>
      </c>
      <c r="D19" s="30">
        <f>C19*$D$17</f>
        <v>11161.182521165048</v>
      </c>
      <c r="E19" s="30">
        <f>C19+D19</f>
        <v>80918.573278446594</v>
      </c>
      <c r="F19" s="30">
        <f>E19*12%</f>
        <v>9710.2287934135911</v>
      </c>
      <c r="G19" s="31">
        <f>E19+F19</f>
        <v>90628.802071860191</v>
      </c>
      <c r="H19" s="30">
        <f>E19*$H$17</f>
        <v>9605.0346481516099</v>
      </c>
      <c r="I19" s="30">
        <f>G19*$I$17</f>
        <v>1359.4320310779028</v>
      </c>
      <c r="J19" s="30">
        <f>G19-F19-H19-I19-C19</f>
        <v>196.71584193554008</v>
      </c>
      <c r="K19" s="30">
        <f>J19*$K$17</f>
        <v>29.50737629033101</v>
      </c>
      <c r="L19" s="30">
        <f>J19-K19</f>
        <v>167.20846564520906</v>
      </c>
      <c r="N19" s="31">
        <f>G19</f>
        <v>90628.802071860191</v>
      </c>
      <c r="Q19" s="29"/>
    </row>
    <row r="20" spans="3:19" s="30" customFormat="1" x14ac:dyDescent="0.25">
      <c r="C20" s="29">
        <f t="shared" ref="C20:C24" si="11">Q5</f>
        <v>26550.694757281552</v>
      </c>
      <c r="D20" s="30">
        <f t="shared" ref="D20:D27" si="12">C20*$D$17</f>
        <v>4248.1111611650485</v>
      </c>
      <c r="E20" s="30">
        <f t="shared" ref="E20:E22" si="13">C20+D20</f>
        <v>30798.8059184466</v>
      </c>
      <c r="F20" s="30">
        <f t="shared" ref="F20:F22" si="14">E20*12%</f>
        <v>3695.8567102135917</v>
      </c>
      <c r="G20" s="31">
        <f t="shared" ref="G20:G22" si="15">E20+F20</f>
        <v>34494.66262866019</v>
      </c>
      <c r="H20" s="30">
        <f t="shared" ref="H20:H22" si="16">E20*$H$17</f>
        <v>3655.8182625196114</v>
      </c>
      <c r="I20" s="30">
        <f t="shared" ref="I20:I22" si="17">G20*$I$17</f>
        <v>517.4199394299028</v>
      </c>
      <c r="J20" s="30">
        <f t="shared" ref="J20:J22" si="18">G20-F20-H20-I20-C20</f>
        <v>74.872959215528681</v>
      </c>
      <c r="K20" s="30">
        <f t="shared" ref="K20:K22" si="19">J20*$K$17</f>
        <v>11.230943882329301</v>
      </c>
      <c r="L20" s="30">
        <f t="shared" ref="L20:L22" si="20">J20-K20</f>
        <v>63.642015333199382</v>
      </c>
      <c r="N20" s="31">
        <f t="shared" ref="N20:N22" si="21">G20</f>
        <v>34494.66262866019</v>
      </c>
      <c r="Q20" s="29"/>
    </row>
    <row r="21" spans="3:19" s="30" customFormat="1" x14ac:dyDescent="0.25">
      <c r="C21" s="29">
        <f t="shared" si="11"/>
        <v>32363.254757281557</v>
      </c>
      <c r="D21" s="30">
        <f t="shared" si="12"/>
        <v>5178.1207611650489</v>
      </c>
      <c r="E21" s="30">
        <f t="shared" si="13"/>
        <v>37541.375518446606</v>
      </c>
      <c r="F21" s="30">
        <f t="shared" si="14"/>
        <v>4504.9650622135923</v>
      </c>
      <c r="G21" s="31">
        <f t="shared" si="15"/>
        <v>42046.340580660195</v>
      </c>
      <c r="H21" s="30">
        <f t="shared" si="16"/>
        <v>4456.1612740396122</v>
      </c>
      <c r="I21" s="30">
        <f t="shared" si="17"/>
        <v>630.69510870990291</v>
      </c>
      <c r="J21" s="30">
        <f t="shared" si="18"/>
        <v>91.264378415529791</v>
      </c>
      <c r="K21" s="30">
        <f t="shared" si="19"/>
        <v>13.689656762329468</v>
      </c>
      <c r="L21" s="30">
        <f t="shared" si="20"/>
        <v>77.574721653200328</v>
      </c>
      <c r="N21" s="31">
        <f t="shared" si="21"/>
        <v>42046.340580660195</v>
      </c>
      <c r="Q21" s="29"/>
    </row>
    <row r="22" spans="3:19" s="30" customFormat="1" x14ac:dyDescent="0.25">
      <c r="C22" s="29">
        <f t="shared" si="11"/>
        <v>106959.41059728157</v>
      </c>
      <c r="D22" s="30">
        <f t="shared" si="12"/>
        <v>17113.505695565051</v>
      </c>
      <c r="E22" s="30">
        <f t="shared" si="13"/>
        <v>124072.91629284662</v>
      </c>
      <c r="F22" s="30">
        <f t="shared" si="14"/>
        <v>14888.749955141595</v>
      </c>
      <c r="G22" s="31">
        <f t="shared" si="15"/>
        <v>138961.66624798821</v>
      </c>
      <c r="H22" s="30">
        <f t="shared" si="16"/>
        <v>14727.455163960894</v>
      </c>
      <c r="I22" s="30">
        <f t="shared" si="17"/>
        <v>2084.4249937198229</v>
      </c>
      <c r="J22" s="30">
        <f t="shared" si="18"/>
        <v>301.62553788431978</v>
      </c>
      <c r="K22" s="30">
        <f t="shared" si="19"/>
        <v>45.243830682647967</v>
      </c>
      <c r="L22" s="30">
        <f t="shared" si="20"/>
        <v>256.38170720167182</v>
      </c>
      <c r="N22" s="31">
        <f t="shared" si="21"/>
        <v>138961.66624798821</v>
      </c>
      <c r="Q22" s="29"/>
    </row>
    <row r="23" spans="3:19" s="30" customFormat="1" x14ac:dyDescent="0.25">
      <c r="C23" s="29"/>
      <c r="D23" s="30">
        <f t="shared" si="12"/>
        <v>0</v>
      </c>
      <c r="Q23" s="29"/>
    </row>
    <row r="24" spans="3:19" s="30" customFormat="1" x14ac:dyDescent="0.25">
      <c r="C24" s="29"/>
      <c r="D24" s="30">
        <f t="shared" si="12"/>
        <v>0</v>
      </c>
      <c r="Q24" s="29"/>
    </row>
    <row r="25" spans="3:19" s="30" customFormat="1" x14ac:dyDescent="0.25">
      <c r="D25" s="30">
        <f t="shared" si="12"/>
        <v>0</v>
      </c>
      <c r="Q25" s="29"/>
    </row>
    <row r="26" spans="3:19" x14ac:dyDescent="0.25">
      <c r="D26" s="12">
        <f t="shared" si="12"/>
        <v>0</v>
      </c>
      <c r="I26" s="12">
        <f>H14*C4</f>
        <v>31442875.75</v>
      </c>
      <c r="S26" s="22"/>
    </row>
    <row r="27" spans="3:19" x14ac:dyDescent="0.25">
      <c r="D27" s="12">
        <f t="shared" si="12"/>
        <v>0</v>
      </c>
      <c r="F27" s="12">
        <f>F19-H14</f>
        <v>1849.5098559135913</v>
      </c>
      <c r="G27" s="12">
        <f>C19+D19+F27</f>
        <v>82768.083134360189</v>
      </c>
      <c r="S27" s="22"/>
    </row>
    <row r="28" spans="3:19" x14ac:dyDescent="0.25">
      <c r="I28" s="12">
        <f>F19*C4</f>
        <v>38840915.173654363</v>
      </c>
      <c r="Q28" s="28"/>
    </row>
    <row r="29" spans="3:19" x14ac:dyDescent="0.25">
      <c r="C29" s="12">
        <f>Q4-H14</f>
        <v>61896.67181978155</v>
      </c>
      <c r="D29" s="12">
        <f>E19</f>
        <v>80918.573278446594</v>
      </c>
      <c r="E29" s="12">
        <f>F27</f>
        <v>1849.5098559135913</v>
      </c>
      <c r="G29" s="12">
        <f>D29+E29</f>
        <v>82768.083134360189</v>
      </c>
      <c r="Q29" s="28"/>
    </row>
    <row r="30" spans="3:19" x14ac:dyDescent="0.25">
      <c r="I30" s="12">
        <f>F27*C4</f>
        <v>7398039.4236543654</v>
      </c>
    </row>
    <row r="32" spans="3:19" x14ac:dyDescent="0.25">
      <c r="Q32" s="28"/>
    </row>
    <row r="33" spans="17:17" x14ac:dyDescent="0.25">
      <c r="Q33" s="28"/>
    </row>
    <row r="34" spans="17:17" x14ac:dyDescent="0.25">
      <c r="Q34" s="28"/>
    </row>
    <row r="35" spans="17:17" x14ac:dyDescent="0.25">
      <c r="Q35" s="28"/>
    </row>
    <row r="38" spans="17:17" x14ac:dyDescent="0.25">
      <c r="Q38" s="28"/>
    </row>
    <row r="39" spans="17:17" x14ac:dyDescent="0.25">
      <c r="Q39" s="28"/>
    </row>
    <row r="40" spans="17:17" x14ac:dyDescent="0.25">
      <c r="Q40" s="28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2025-10-23T12:00:27Z</dcterms:created>
  <dcterms:modified xsi:type="dcterms:W3CDTF">2025-11-04T12:23:11Z</dcterms:modified>
</cp:coreProperties>
</file>